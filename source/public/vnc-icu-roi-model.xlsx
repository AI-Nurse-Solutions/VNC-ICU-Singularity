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3-Year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x&quot;"/>
  </numFmts>
  <fonts count="8">
    <font>
      <name val="Calibri"/>
      <family val="2"/>
      <color theme="1"/>
      <sz val="11"/>
      <scheme val="minor"/>
    </font>
    <font>
      <b val="1"/>
      <color rgb="000D9488"/>
      <sz val="14"/>
    </font>
    <font>
      <i val="1"/>
      <color rgb="00555555"/>
      <sz val="10"/>
    </font>
    <font>
      <b val="1"/>
      <color rgb="00FFFFFF"/>
    </font>
    <font>
      <color rgb="00666666"/>
      <sz val="9"/>
    </font>
    <font>
      <b val="1"/>
    </font>
    <font>
      <b val="1"/>
      <color rgb="000D9488"/>
    </font>
    <font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</cols>
  <sheetData>
    <row r="1">
      <c r="A1" s="1" t="inlineStr">
        <is>
          <t>VNC ICU Singularity — ROI Model (Illustrative)</t>
        </is>
      </c>
    </row>
    <row r="2">
      <c r="A2" s="2" t="inlineStr">
        <is>
          <t>Reference unit: 44-bed high-acuity ICU · ~200 nurses · Sutter Health Innovation Challenge 2026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Source / note</t>
        </is>
      </c>
    </row>
    <row r="5">
      <c r="A5" t="inlineStr">
        <is>
          <t>Nurses on unit</t>
        </is>
      </c>
      <c r="B5" t="n">
        <v>200</v>
      </c>
      <c r="C5" s="4" t="inlineStr">
        <is>
          <t>Reference 44-bed ICU</t>
        </is>
      </c>
    </row>
    <row r="6">
      <c r="A6" t="inlineStr">
        <is>
          <t>Cost per RN turnover</t>
        </is>
      </c>
      <c r="B6" s="5" t="n">
        <v>56300</v>
      </c>
      <c r="C6" s="4" t="inlineStr">
        <is>
          <t>NSI National Health Care Retention Report, 2024</t>
        </is>
      </c>
    </row>
    <row r="7">
      <c r="A7" t="inlineStr">
        <is>
          <t>Baseline RN turnover rate</t>
        </is>
      </c>
      <c r="B7" s="6" t="n">
        <v>0.2</v>
      </c>
      <c r="C7" s="4" t="inlineStr">
        <is>
          <t>~ national range (NSI 2024)</t>
        </is>
      </c>
    </row>
    <row r="8">
      <c r="A8" t="inlineStr">
        <is>
          <t>Turnover reduction (pts)</t>
        </is>
      </c>
      <c r="B8" s="6" t="n">
        <v>0.04</v>
      </c>
      <c r="C8" s="4" t="inlineStr">
        <is>
          <t>Modeled effect of reduced admin burden / burnout</t>
        </is>
      </c>
    </row>
    <row r="9">
      <c r="A9" t="inlineStr">
        <is>
          <t>Fewer departures per year</t>
        </is>
      </c>
      <c r="B9" t="n">
        <v>8</v>
      </c>
      <c r="C9" s="4">
        <f> nurses x turnover reduction</f>
        <v/>
      </c>
    </row>
    <row r="10">
      <c r="A10" t="inlineStr">
        <is>
          <t>Retention savings (full ramp)</t>
        </is>
      </c>
      <c r="B10" s="5" t="n">
        <v>450400</v>
      </c>
      <c r="C10" s="4">
        <f> fewer departures x cost per turnover</f>
        <v/>
      </c>
    </row>
    <row r="11">
      <c r="A11" t="inlineStr">
        <is>
          <t>Recovered-capacity value (full ramp)</t>
        </is>
      </c>
      <c r="B11" s="5" t="n">
        <v>300000</v>
      </c>
      <c r="C11" s="4" t="inlineStr">
        <is>
          <t>~2.4 hrs/shift offsetting premium/agency labor (conservative)</t>
        </is>
      </c>
    </row>
    <row r="12">
      <c r="A12" t="inlineStr">
        <is>
          <t>Total full-ramp annual benefit</t>
        </is>
      </c>
      <c r="B12" s="5" t="n">
        <v>750400</v>
      </c>
      <c r="C12" s="4">
        <f> retention + recovered capacity</f>
        <v/>
      </c>
    </row>
    <row r="13">
      <c r="A13" t="inlineStr">
        <is>
          <t>Benefit ramp — Year 1</t>
        </is>
      </c>
      <c r="B13" s="6" t="n">
        <v>0.45</v>
      </c>
      <c r="C13" s="4" t="inlineStr">
        <is>
          <t>Partial first-year realization</t>
        </is>
      </c>
    </row>
    <row r="14">
      <c r="A14" t="inlineStr">
        <is>
          <t>Benefit ramp — Year 2</t>
        </is>
      </c>
      <c r="B14" s="6" t="n">
        <v>0.85</v>
      </c>
      <c r="C14" s="4" t="inlineStr"/>
    </row>
    <row r="15">
      <c r="A15" t="inlineStr">
        <is>
          <t>Benefit ramp — Year 3</t>
        </is>
      </c>
      <c r="B15" s="6" t="n">
        <v>1</v>
      </c>
      <c r="C15" s="4" t="inlineStr">
        <is>
          <t>Full run-rate</t>
        </is>
      </c>
    </row>
    <row r="16">
      <c r="A16" t="inlineStr">
        <is>
          <t>Program cost — Year 1</t>
        </is>
      </c>
      <c r="B16" s="5" t="n">
        <v>280000</v>
      </c>
      <c r="C16" s="4" t="inlineStr">
        <is>
          <t>Implementation + run; 0 new FTEs</t>
        </is>
      </c>
    </row>
    <row r="17">
      <c r="A17" t="inlineStr">
        <is>
          <t>Program cost — Year 2</t>
        </is>
      </c>
      <c r="B17" s="5" t="n">
        <v>120000</v>
      </c>
      <c r="C17" s="4" t="inlineStr">
        <is>
          <t>Ongoing run-rate</t>
        </is>
      </c>
    </row>
    <row r="18">
      <c r="A18" t="inlineStr">
        <is>
          <t>Program cost — Year 3</t>
        </is>
      </c>
      <c r="B18" s="5" t="n">
        <v>120000</v>
      </c>
      <c r="C18" s="4" t="inlineStr">
        <is>
          <t>Ongoing run-rate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Three-Year Projection (USD)</t>
        </is>
      </c>
    </row>
    <row r="3">
      <c r="A3" s="7" t="inlineStr">
        <is>
          <t>Year</t>
        </is>
      </c>
      <c r="B3" s="7" t="inlineStr">
        <is>
          <t>Gross benefit</t>
        </is>
      </c>
      <c r="C3" s="7" t="inlineStr">
        <is>
          <t>Program cost</t>
        </is>
      </c>
      <c r="D3" s="7" t="inlineStr">
        <is>
          <t>Net value</t>
        </is>
      </c>
      <c r="E3" s="7" t="inlineStr">
        <is>
          <t>Cumulative net</t>
        </is>
      </c>
    </row>
    <row r="4">
      <c r="A4" s="8" t="inlineStr">
        <is>
          <t>Year 1</t>
        </is>
      </c>
      <c r="B4" s="9">
        <f>Assumptions!$B$12*Assumptions!$B$13</f>
        <v/>
      </c>
      <c r="C4" s="9">
        <f>Assumptions!$B$16</f>
        <v/>
      </c>
      <c r="D4" s="9">
        <f>B4-C4</f>
        <v/>
      </c>
      <c r="E4" s="9">
        <f>D4</f>
        <v/>
      </c>
    </row>
    <row r="5">
      <c r="A5" s="8" t="inlineStr">
        <is>
          <t>Year 2</t>
        </is>
      </c>
      <c r="B5" s="9">
        <f>Assumptions!$B$12*Assumptions!$B$14</f>
        <v/>
      </c>
      <c r="C5" s="9">
        <f>Assumptions!$B$17</f>
        <v/>
      </c>
      <c r="D5" s="9">
        <f>B5-C5</f>
        <v/>
      </c>
      <c r="E5" s="9">
        <f>D5+E4</f>
        <v/>
      </c>
    </row>
    <row r="6">
      <c r="A6" s="8" t="inlineStr">
        <is>
          <t>Year 3</t>
        </is>
      </c>
      <c r="B6" s="9">
        <f>Assumptions!$B$12*Assumptions!$B$15</f>
        <v/>
      </c>
      <c r="C6" s="9">
        <f>Assumptions!$B$18</f>
        <v/>
      </c>
      <c r="D6" s="9">
        <f>B6-C6</f>
        <v/>
      </c>
      <c r="E6" s="9">
        <f>D6+E5</f>
        <v/>
      </c>
    </row>
    <row r="7">
      <c r="A7" s="10" t="inlineStr">
        <is>
          <t>3-year total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E6</f>
        <v/>
      </c>
    </row>
    <row r="9">
      <c r="A9" t="inlineStr">
        <is>
          <t>3-year ROI (net / cost)</t>
        </is>
      </c>
      <c r="B9" s="12">
        <f>D7/C7</f>
        <v/>
      </c>
    </row>
    <row r="10">
      <c r="A10" t="inlineStr">
        <is>
          <t>Payback</t>
        </is>
      </c>
      <c r="B10" t="inlineStr">
        <is>
          <t>Within Year 1</t>
        </is>
      </c>
    </row>
    <row r="12">
      <c r="A12" s="13" t="inlineStr">
        <is>
          <t>Illustrative model for the reference 44-bed ICU. Figures are pilot targets, not actuals.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2026-06-13T11:00:26Z</dcterms:created>
  <dcterms:modified xmlns:dcterms="http://purl.org/dc/terms/" xmlns:xsi="http://www.w3.org/2001/XMLSchema-instance" xsi:type="dcterms:W3CDTF">2026-06-13T11:00:26Z</dcterms:modified>
</cp:coreProperties>
</file>